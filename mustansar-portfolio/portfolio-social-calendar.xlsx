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alendar" sheetId="2" r:id="rId5"/>
    <sheet state="visible" name="Recipe Library" sheetId="3" r:id="rId6"/>
    <sheet state="visible" name="Brand Library" sheetId="4" r:id="rId7"/>
  </sheets>
  <definedNames/>
  <calcPr/>
  <extLst>
    <ext uri="GoogleSheetsCustomDataVersion2">
      <go:sheetsCustomData xmlns:go="http://customooxmlschemas.google.com/" r:id="rId8" roundtripDataChecksum="piU9bubdABgcJiLpdPFsAla4zFJwLuYfoHQI9U7fMYE="/>
    </ext>
  </extLst>
</workbook>
</file>

<file path=xl/sharedStrings.xml><?xml version="1.0" encoding="utf-8"?>
<sst xmlns="http://schemas.openxmlformats.org/spreadsheetml/2006/main" count="298" uniqueCount="173">
  <si>
    <t>PJ BOLD SOCIAL MEDIA DASHBOARD</t>
  </si>
  <si>
    <t>OVERALL PROGRESS</t>
  </si>
  <si>
    <t>Total Posts Planned:</t>
  </si>
  <si>
    <t>Total Posts Completed:</t>
  </si>
  <si>
    <t>Completion Rate:</t>
  </si>
  <si>
    <t>MONTHLY PROGRESS TRACKER</t>
  </si>
  <si>
    <t>Month</t>
  </si>
  <si>
    <t>Target</t>
  </si>
  <si>
    <t>Posted</t>
  </si>
  <si>
    <t>In Progress</t>
  </si>
  <si>
    <t>Planned</t>
  </si>
  <si>
    <t>Progress %</t>
  </si>
  <si>
    <t>Status</t>
  </si>
  <si>
    <t>January</t>
  </si>
  <si>
    <t>February</t>
  </si>
  <si>
    <t>March</t>
  </si>
  <si>
    <t>April</t>
  </si>
  <si>
    <t>May</t>
  </si>
  <si>
    <t>June</t>
  </si>
  <si>
    <t>POST TYPE BREAKDOWN</t>
  </si>
  <si>
    <t>Recipe Posts Posted:</t>
  </si>
  <si>
    <t>Brand Posts Posted:</t>
  </si>
  <si>
    <t>Discount Posts Posted:</t>
  </si>
  <si>
    <t>QUICK TIPS</t>
  </si>
  <si>
    <t>• Update Calendar status to "Posted" and add URL when you publish</t>
  </si>
  <si>
    <t>• Dashboard automatically tracks your progress</t>
  </si>
  <si>
    <t>• Choose "Discount" in Post Type dropdown when running promotions</t>
  </si>
  <si>
    <t>• Aim to post 4 times per month (1 per week)</t>
  </si>
  <si>
    <t>• Update Recipe/Brand libraries when content is used</t>
  </si>
  <si>
    <t>PJ BOLD SOCIAL MEDIA CALENDAR 2025</t>
  </si>
  <si>
    <t>Week #</t>
  </si>
  <si>
    <t>Date</t>
  </si>
  <si>
    <t>Post Type</t>
  </si>
  <si>
    <t>Link</t>
  </si>
  <si>
    <t>Notes</t>
  </si>
  <si>
    <t>Week 1</t>
  </si>
  <si>
    <t>2025-01-06 (Mon)</t>
  </si>
  <si>
    <t>Recipe</t>
  </si>
  <si>
    <t>Week 2</t>
  </si>
  <si>
    <t>2025-01-13 (Mon)</t>
  </si>
  <si>
    <t>Brand</t>
  </si>
  <si>
    <t>Week 3</t>
  </si>
  <si>
    <t>2025-01-20 (Mon)</t>
  </si>
  <si>
    <t>Week 4</t>
  </si>
  <si>
    <t>2025-01-27 (Mon)</t>
  </si>
  <si>
    <t>Week 5</t>
  </si>
  <si>
    <t>2025-02-03 (Mon)</t>
  </si>
  <si>
    <t>Week 6</t>
  </si>
  <si>
    <t>2025-02-10 (Mon)</t>
  </si>
  <si>
    <t>Week 7</t>
  </si>
  <si>
    <t>2025-02-17 (Mon)</t>
  </si>
  <si>
    <t>Week 8</t>
  </si>
  <si>
    <t>2025-02-24 (Mon)</t>
  </si>
  <si>
    <t>Week 9</t>
  </si>
  <si>
    <t>2025-03-03 (Mon)</t>
  </si>
  <si>
    <t>Week 10</t>
  </si>
  <si>
    <t>2025-03-10 (Mon)</t>
  </si>
  <si>
    <t>Week 11</t>
  </si>
  <si>
    <t>2025-03-17 (Mon)</t>
  </si>
  <si>
    <t>Week 12</t>
  </si>
  <si>
    <t>2025-03-24 (Mon)</t>
  </si>
  <si>
    <t>Week 13</t>
  </si>
  <si>
    <t>2025-03-31 (Mon)</t>
  </si>
  <si>
    <t>Week 14</t>
  </si>
  <si>
    <t>2025-04-07 (Mon)</t>
  </si>
  <si>
    <t>Week 15</t>
  </si>
  <si>
    <t>2025-04-14 (Mon)</t>
  </si>
  <si>
    <t>Week 16</t>
  </si>
  <si>
    <t>2025-04-21 (Mon)</t>
  </si>
  <si>
    <t>Week 17</t>
  </si>
  <si>
    <t>2025-04-28 (Mon)</t>
  </si>
  <si>
    <t>Week 18</t>
  </si>
  <si>
    <t>2025-05-05 (Mon)</t>
  </si>
  <si>
    <t>Week 19</t>
  </si>
  <si>
    <t>2025-05-12 (Mon)</t>
  </si>
  <si>
    <t>Week 20</t>
  </si>
  <si>
    <t>2025-05-19 (Mon)</t>
  </si>
  <si>
    <t>Week 21</t>
  </si>
  <si>
    <t>2025-05-26 (Mon)</t>
  </si>
  <si>
    <t>Week 22</t>
  </si>
  <si>
    <t>2025-06-02 (Mon)</t>
  </si>
  <si>
    <t>Week 23</t>
  </si>
  <si>
    <t>2025-06-09 (Mon)</t>
  </si>
  <si>
    <t>Week 24</t>
  </si>
  <si>
    <t>2025-06-16 (Mon)</t>
  </si>
  <si>
    <t>RECIPE &amp; COOKING CONTENT LIBRARY</t>
  </si>
  <si>
    <t>#</t>
  </si>
  <si>
    <t>Content Title</t>
  </si>
  <si>
    <t>URL</t>
  </si>
  <si>
    <t>https://www.pjbold.com/blogs/news/how-to-melt-gummy-bears-to-make-edibles</t>
  </si>
  <si>
    <t>Available</t>
  </si>
  <si>
    <t>https://www.pjbold.com/blogs/news/candy-recipes-for-silicone-molds</t>
  </si>
  <si>
    <t>https://www.pjbold.com/blogs/news/how-to-make-mushroom-chocolate-bars</t>
  </si>
  <si>
    <t>https://www.pjbold.com/es/blogs/news/how-to-make-edible-gummies-step-by-step-guide</t>
  </si>
  <si>
    <t>https://www.pjbold.com/blogs/news/cannabis-chocolate-chip-cookies</t>
  </si>
  <si>
    <t>https://www.pjbold.com/blogs/news/sweets-with-a-twist-making-your-own-cannabis-nerds-ropes</t>
  </si>
  <si>
    <t>https://www.pjbold.com/blogs/news/how-to-make-edible-gummies-step-by-step-guide</t>
  </si>
  <si>
    <t>https://www.pjbold.com/es/blogs/news/cannabis-chocolate-chip-cookies</t>
  </si>
  <si>
    <t>https://www.pjbold.com/es/blogs/news/how-do-you-make-cbd-gummies</t>
  </si>
  <si>
    <t>https://www.pjbold.com/blogs/news/how-to-make-gummies-with-jello</t>
  </si>
  <si>
    <t>https://www.pjbold.com/fr/blogs/news/how-to-make-weed-gummies-at-home-in-easy-steps</t>
  </si>
  <si>
    <t>https://www.pjbold.com/blogs/news/how-to-make-cannabis-cupcakes</t>
  </si>
  <si>
    <t>https://www.pjbold.com/blogs/news/truffle-chocolate-recipe-using-silicone-molds</t>
  </si>
  <si>
    <t>https://www.pjbold.com/fr/blogs/news/how-to-melt-chocolate-for-molds</t>
  </si>
  <si>
    <t>https://www.pjbold.com/blogs/news/guide-to-perfecting-candy-molding-with-silicone-candy-molds</t>
  </si>
  <si>
    <t>https://www.pjbold.com/blogs/news/ultimate-guide-for-the-best-vegan-gummy-recipes</t>
  </si>
  <si>
    <t>https://www.pjbold.com/fr/blogs/news/cannabis-chocolate-chip-cookies</t>
  </si>
  <si>
    <t>https://www.pjbold.com/blogs/news/silicone-vs-polycarbonate-molds</t>
  </si>
  <si>
    <t>https://www.pjbold.com/blogs/news/baking-in-silicone-molds</t>
  </si>
  <si>
    <t>https://www.pjbold.com/blogs/news/homemade-caramel-lollipop-recipe</t>
  </si>
  <si>
    <t>BRAND CONTENT IDEAS LIBRARY</t>
  </si>
  <si>
    <t>Topic</t>
  </si>
  <si>
    <t>Idea</t>
  </si>
  <si>
    <t>New Arrival Tease</t>
  </si>
  <si>
    <t>Highlight a fresh state-themed mold launch and its gummy-making potential</t>
  </si>
  <si>
    <t>Mold Durability Demo</t>
  </si>
  <si>
    <t>Show the mold being flexed, washed, and reused to prove long-lasting quality</t>
  </si>
  <si>
    <t>Themed Mold Highlight</t>
  </si>
  <si>
    <t>Feature heart-shaped molds for romantic or holiday candy creations</t>
  </si>
  <si>
    <t>Custom Mold Showcase</t>
  </si>
  <si>
    <t>Display a customer's personalized mold design and the simple ordering process</t>
  </si>
  <si>
    <t>Polycarbonate vs. Silicone</t>
  </si>
  <si>
    <t>Explain key differences and benefits for chocolate and candy work</t>
  </si>
  <si>
    <t>Leaf Mold Inspiration</t>
  </si>
  <si>
    <t>Demonstrate nature-themed edibles using leaf-shaped designs</t>
  </si>
  <si>
    <t>Butter Mold Focus</t>
  </si>
  <si>
    <t>Show butter molds for clean release and safe food use</t>
  </si>
  <si>
    <t>Lollipop Mold Fun</t>
  </si>
  <si>
    <t>Present colorful lollipop examples for family-friendly DIY projects</t>
  </si>
  <si>
    <t>Mushroom Mold Magic</t>
  </si>
  <si>
    <t>Spotlight whimsical mushroom molds with fun flavor suggestions</t>
  </si>
  <si>
    <t>All-Silicone Collection</t>
  </si>
  <si>
    <t>List top silicone molds with brief highlights on each</t>
  </si>
  <si>
    <t>5-Star Review Spotlight</t>
  </si>
  <si>
    <t>Share a glowing customer review with their finished gummy photo</t>
  </si>
  <si>
    <t>Repeat Buyer Praise</t>
  </si>
  <si>
    <t>Feature feedback from someone who bought multiple times</t>
  </si>
  <si>
    <t>Easy Release Testimonial</t>
  </si>
  <si>
    <t>Highlight a review praising how gummies pop out effortlessly</t>
  </si>
  <si>
    <t>Durability in Use Story</t>
  </si>
  <si>
    <t>Post about a customer noting molds hold up after dozens of batches</t>
  </si>
  <si>
    <t>Quality vs. Price Win</t>
  </si>
  <si>
    <t>Share review comparing PJ Bold molds favorably to expensive options</t>
  </si>
  <si>
    <t>Fast Demolding Feedback</t>
  </si>
  <si>
    <t>Showcase comment on reduced demolding time vs other brands</t>
  </si>
  <si>
    <t>Superior Clean-Up Note</t>
  </si>
  <si>
    <t>Feature review on how easy molds are to clean after use</t>
  </si>
  <si>
    <t>Overall Satisfaction</t>
  </si>
  <si>
    <t>Display a high-rating testimonial with customer creation image</t>
  </si>
  <si>
    <t>Beginner's Guide</t>
  </si>
  <si>
    <t>Step-by-step intro for new users starting with basic molds</t>
  </si>
  <si>
    <t>Flavor Pairing Ideas</t>
  </si>
  <si>
    <t>Suggest creative bold flavor combinations for molded chocolates</t>
  </si>
  <si>
    <t>Custom Design Process</t>
  </si>
  <si>
    <t>Walk through ordering a custom mold from concept to delivery</t>
  </si>
  <si>
    <t>Safety First Reminder</t>
  </si>
  <si>
    <t>Stress FDA approval and BPA-free materials with key facts</t>
  </si>
  <si>
    <t>Factory Peek</t>
  </si>
  <si>
    <t>Give a quick look at mold production and quality checks</t>
  </si>
  <si>
    <t>Brand Mission Share</t>
  </si>
  <si>
    <t>Explain focus on safe, creative tools for confectionery enthusiasts</t>
  </si>
  <si>
    <t>Sustainability Angle</t>
  </si>
  <si>
    <t>Note how reusable silicone molds help cut down on waste</t>
  </si>
  <si>
    <t>State Mold Series</t>
  </si>
  <si>
    <t>Spotlight a specific state mold like Florida THC for unique edibles</t>
  </si>
  <si>
    <t>THC Symbol Mold Focus</t>
  </si>
  <si>
    <t>Highlight designs for precise dosing in gummy production</t>
  </si>
  <si>
    <t>Thick Mold Benefits</t>
  </si>
  <si>
    <t>Explain advantages of thicker molds for professional results</t>
  </si>
  <si>
    <t>Easy Clean &amp; Store Tip</t>
  </si>
  <si>
    <t>Quick advice on maintaining molds for repeated use</t>
  </si>
  <si>
    <t>Customer Creation Roundup</t>
  </si>
  <si>
    <t>Compile several user-submitted finished candy photos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</si>
</sst>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0.0"/>
      <color rgb="FFFFFFFF"/>
      <name val="Calibri"/>
      <scheme val="minor"/>
    </font>
    <font/>
    <font>
      <b/>
      <sz val="14.0"/>
      <color rgb="FFFFFFFF"/>
      <name val="Calibri"/>
      <scheme val="minor"/>
    </font>
    <font>
      <b/>
      <color rgb="FF004D29"/>
      <name val="Calibri"/>
      <scheme val="minor"/>
    </font>
    <font>
      <b/>
      <sz val="12.0"/>
      <color rgb="FF00863F"/>
      <name val="Calibri"/>
      <scheme val="minor"/>
    </font>
    <font>
      <sz val="11.0"/>
      <color theme="1"/>
      <name val="Calibri"/>
    </font>
    <font>
      <color rgb="FF004D29"/>
      <name val="Calibri"/>
      <scheme val="minor"/>
    </font>
    <font>
      <b/>
      <sz val="16.0"/>
      <color rgb="FFFFFFFF"/>
      <name val="Calibri"/>
      <scheme val="minor"/>
    </font>
    <font>
      <color theme="1"/>
      <name val="Calibri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863F"/>
        <bgColor rgb="FF00863F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4" numFmtId="0" xfId="0" applyFont="1"/>
    <xf borderId="0" fillId="0" fontId="5" numFmtId="0" xfId="0" applyFont="1"/>
    <xf borderId="0" fillId="0" fontId="5" numFmtId="9" xfId="0" applyFont="1" applyNumberFormat="1"/>
    <xf borderId="10" fillId="3" fontId="4" numFmtId="0" xfId="0" applyAlignment="1" applyBorder="1" applyFill="1" applyFont="1">
      <alignment horizontal="center"/>
    </xf>
    <xf borderId="10" fillId="4" fontId="6" numFmtId="0" xfId="0" applyBorder="1" applyFill="1" applyFont="1"/>
    <xf borderId="10" fillId="4" fontId="6" numFmtId="9" xfId="0" applyBorder="1" applyFont="1" applyNumberFormat="1"/>
    <xf borderId="10" fillId="5" fontId="6" numFmtId="0" xfId="0" applyBorder="1" applyFill="1" applyFont="1"/>
    <xf borderId="10" fillId="5" fontId="6" numFmtId="9" xfId="0" applyBorder="1" applyFont="1" applyNumberFormat="1"/>
    <xf borderId="0" fillId="0" fontId="7" numFmtId="0" xfId="0" applyFont="1"/>
    <xf borderId="1" fillId="2" fontId="8" numFmtId="0" xfId="0" applyAlignment="1" applyBorder="1" applyFont="1">
      <alignment horizontal="center" vertical="center"/>
    </xf>
    <xf borderId="0" fillId="0" fontId="9" numFmtId="0" xfId="0" applyFont="1"/>
    <xf borderId="7" fillId="2" fontId="3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10" fillId="4" fontId="6" numFmtId="0" xfId="0" applyAlignment="1" applyBorder="1" applyFont="1">
      <alignment shrinkToFit="0" vertical="top" wrapText="1"/>
    </xf>
    <xf borderId="10" fillId="5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jbold.com/blogs/news/homemade-caramel-lollipop-recipe" TargetMode="External"/><Relationship Id="rId11" Type="http://schemas.openxmlformats.org/officeDocument/2006/relationships/hyperlink" Target="https://www.pjbold.com/fr/blogs/news/how-to-make-weed-gummies-at-home-in-easy-steps" TargetMode="External"/><Relationship Id="rId10" Type="http://schemas.openxmlformats.org/officeDocument/2006/relationships/hyperlink" Target="https://www.pjbold.com/blogs/news/how-to-make-gummies-with-jello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www.pjbold.com/blogs/news/truffle-chocolate-recipe-using-silicone-molds" TargetMode="External"/><Relationship Id="rId12" Type="http://schemas.openxmlformats.org/officeDocument/2006/relationships/hyperlink" Target="https://www.pjbold.com/blogs/news/how-to-make-cannabis-cupcakes" TargetMode="External"/><Relationship Id="rId1" Type="http://schemas.openxmlformats.org/officeDocument/2006/relationships/hyperlink" Target="https://www.pjbold.com/blogs/news/how-to-melt-gummy-bears-to-make-edibles" TargetMode="External"/><Relationship Id="rId2" Type="http://schemas.openxmlformats.org/officeDocument/2006/relationships/hyperlink" Target="https://www.pjbold.com/blogs/news/candy-recipes-for-silicone-molds" TargetMode="External"/><Relationship Id="rId3" Type="http://schemas.openxmlformats.org/officeDocument/2006/relationships/hyperlink" Target="https://www.pjbold.com/blogs/news/how-to-make-mushroom-chocolate-bars" TargetMode="External"/><Relationship Id="rId4" Type="http://schemas.openxmlformats.org/officeDocument/2006/relationships/hyperlink" Target="https://www.pjbold.com/es/blogs/news/how-to-make-edible-gummies-step-by-step-guide" TargetMode="External"/><Relationship Id="rId9" Type="http://schemas.openxmlformats.org/officeDocument/2006/relationships/hyperlink" Target="https://www.pjbold.com/es/blogs/news/how-do-you-make-cbd-gummies" TargetMode="External"/><Relationship Id="rId15" Type="http://schemas.openxmlformats.org/officeDocument/2006/relationships/hyperlink" Target="https://www.pjbold.com/blogs/news/guide-to-perfecting-candy-molding-with-silicone-candy-molds" TargetMode="External"/><Relationship Id="rId14" Type="http://schemas.openxmlformats.org/officeDocument/2006/relationships/hyperlink" Target="https://www.pjbold.com/fr/blogs/news/how-to-melt-chocolate-for-molds" TargetMode="External"/><Relationship Id="rId17" Type="http://schemas.openxmlformats.org/officeDocument/2006/relationships/hyperlink" Target="https://www.pjbold.com/fr/blogs/news/cannabis-chocolate-chip-cookies" TargetMode="External"/><Relationship Id="rId16" Type="http://schemas.openxmlformats.org/officeDocument/2006/relationships/hyperlink" Target="https://www.pjbold.com/blogs/news/ultimate-guide-for-the-best-vegan-gummy-recipes" TargetMode="External"/><Relationship Id="rId5" Type="http://schemas.openxmlformats.org/officeDocument/2006/relationships/hyperlink" Target="https://www.pjbold.com/blogs/news/cannabis-chocolate-chip-cookies" TargetMode="External"/><Relationship Id="rId19" Type="http://schemas.openxmlformats.org/officeDocument/2006/relationships/hyperlink" Target="https://www.pjbold.com/blogs/news/baking-in-silicone-molds" TargetMode="External"/><Relationship Id="rId6" Type="http://schemas.openxmlformats.org/officeDocument/2006/relationships/hyperlink" Target="https://www.pjbold.com/blogs/news/sweets-with-a-twist-making-your-own-cannabis-nerds-ropes" TargetMode="External"/><Relationship Id="rId18" Type="http://schemas.openxmlformats.org/officeDocument/2006/relationships/hyperlink" Target="https://www.pjbold.com/blogs/news/silicone-vs-polycarbonate-molds" TargetMode="External"/><Relationship Id="rId7" Type="http://schemas.openxmlformats.org/officeDocument/2006/relationships/hyperlink" Target="https://www.pjbold.com/blogs/news/how-to-make-edible-gummies-step-by-step-guide" TargetMode="External"/><Relationship Id="rId8" Type="http://schemas.openxmlformats.org/officeDocument/2006/relationships/hyperlink" Target="https://www.pjbold.com/es/blogs/news/cannabis-chocolate-chip-cooki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2.0"/>
    <col customWidth="1" min="4" max="4" width="14.0"/>
    <col customWidth="1" min="5" max="5" width="12.0"/>
    <col customWidth="1" min="6" max="6" width="14.0"/>
    <col customWidth="1" min="7" max="7" width="15.0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30.0" customHeight="1">
      <c r="A2" s="4"/>
      <c r="B2" s="5"/>
      <c r="C2" s="5"/>
      <c r="D2" s="5"/>
      <c r="E2" s="5"/>
      <c r="F2" s="5"/>
      <c r="G2" s="6"/>
    </row>
    <row r="4">
      <c r="A4" s="7" t="s">
        <v>1</v>
      </c>
      <c r="B4" s="8"/>
      <c r="C4" s="8"/>
      <c r="D4" s="8"/>
      <c r="E4" s="8"/>
      <c r="F4" s="8"/>
      <c r="G4" s="9"/>
    </row>
    <row r="5">
      <c r="A5" s="10" t="s">
        <v>2</v>
      </c>
      <c r="B5" s="11">
        <f>COUNTA(Calendar!A4:A27)</f>
        <v>24</v>
      </c>
    </row>
    <row r="6">
      <c r="A6" s="10" t="s">
        <v>3</v>
      </c>
      <c r="B6" s="11">
        <f>COUNTIF(Calendar!E4:E27,"Posted")</f>
        <v>0</v>
      </c>
    </row>
    <row r="7">
      <c r="A7" s="10" t="s">
        <v>4</v>
      </c>
      <c r="B7" s="12">
        <f>IF(B5&gt;0,B6/B5,0)</f>
        <v>0</v>
      </c>
    </row>
    <row r="9">
      <c r="A9" s="7" t="s">
        <v>5</v>
      </c>
      <c r="B9" s="8"/>
      <c r="C9" s="8"/>
      <c r="D9" s="8"/>
      <c r="E9" s="8"/>
      <c r="F9" s="8"/>
      <c r="G9" s="9"/>
    </row>
    <row r="10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>
      <c r="A11" s="14" t="s">
        <v>13</v>
      </c>
      <c r="B11" s="14">
        <f>COUNTIF(Calendar!A:A,A11)</f>
        <v>4</v>
      </c>
      <c r="C11" s="14">
        <f>COUNTIFS(Calendar!A:A,A11,Calendar!E:E,"Posted")</f>
        <v>0</v>
      </c>
      <c r="D11" s="14">
        <f>COUNTIFS(Calendar!A:A,A11,Calendar!E:E,"In Progress")</f>
        <v>0</v>
      </c>
      <c r="E11" s="14">
        <f>COUNTIFS(Calendar!A:A,A11,Calendar!E:E,"Planned")</f>
        <v>4</v>
      </c>
      <c r="F11" s="15">
        <f t="shared" ref="F11:F16" si="1">IF(B11&gt;0,C11/B11,0)</f>
        <v>0</v>
      </c>
      <c r="G11" s="14" t="str">
        <f t="shared" ref="G11:G16" si="2">IF(F11=1,"Complete ✓",IF(F11&gt;0,"In Progress","Not Started"))</f>
        <v>Not Started</v>
      </c>
    </row>
    <row r="12">
      <c r="A12" s="16" t="s">
        <v>14</v>
      </c>
      <c r="B12" s="16">
        <f>COUNTIF(Calendar!A:A,A12)</f>
        <v>4</v>
      </c>
      <c r="C12" s="16">
        <f>COUNTIFS(Calendar!A:A,A12,Calendar!E:E,"Posted")</f>
        <v>0</v>
      </c>
      <c r="D12" s="16">
        <f>COUNTIFS(Calendar!A:A,A12,Calendar!E:E,"In Progress")</f>
        <v>0</v>
      </c>
      <c r="E12" s="16">
        <f>COUNTIFS(Calendar!A:A,A12,Calendar!E:E,"Planned")</f>
        <v>4</v>
      </c>
      <c r="F12" s="17">
        <f t="shared" si="1"/>
        <v>0</v>
      </c>
      <c r="G12" s="16" t="str">
        <f t="shared" si="2"/>
        <v>Not Started</v>
      </c>
    </row>
    <row r="13">
      <c r="A13" s="14" t="s">
        <v>15</v>
      </c>
      <c r="B13" s="14">
        <f>COUNTIF(Calendar!A:A,A13)</f>
        <v>4</v>
      </c>
      <c r="C13" s="14">
        <f>COUNTIFS(Calendar!A:A,A13,Calendar!E:E,"Posted")</f>
        <v>0</v>
      </c>
      <c r="D13" s="14">
        <f>COUNTIFS(Calendar!A:A,A13,Calendar!E:E,"In Progress")</f>
        <v>0</v>
      </c>
      <c r="E13" s="14">
        <f>COUNTIFS(Calendar!A:A,A13,Calendar!E:E,"Planned")</f>
        <v>4</v>
      </c>
      <c r="F13" s="15">
        <f t="shared" si="1"/>
        <v>0</v>
      </c>
      <c r="G13" s="14" t="str">
        <f t="shared" si="2"/>
        <v>Not Started</v>
      </c>
    </row>
    <row r="14">
      <c r="A14" s="16" t="s">
        <v>16</v>
      </c>
      <c r="B14" s="16">
        <f>COUNTIF(Calendar!A:A,A14)</f>
        <v>4</v>
      </c>
      <c r="C14" s="16">
        <f>COUNTIFS(Calendar!A:A,A14,Calendar!E:E,"Posted")</f>
        <v>0</v>
      </c>
      <c r="D14" s="16">
        <f>COUNTIFS(Calendar!A:A,A14,Calendar!E:E,"In Progress")</f>
        <v>0</v>
      </c>
      <c r="E14" s="16">
        <f>COUNTIFS(Calendar!A:A,A14,Calendar!E:E,"Planned")</f>
        <v>4</v>
      </c>
      <c r="F14" s="17">
        <f t="shared" si="1"/>
        <v>0</v>
      </c>
      <c r="G14" s="16" t="str">
        <f t="shared" si="2"/>
        <v>Not Started</v>
      </c>
    </row>
    <row r="15">
      <c r="A15" s="14" t="s">
        <v>17</v>
      </c>
      <c r="B15" s="14">
        <f>COUNTIF(Calendar!A:A,A15)</f>
        <v>4</v>
      </c>
      <c r="C15" s="14">
        <f>COUNTIFS(Calendar!A:A,A15,Calendar!E:E,"Posted")</f>
        <v>0</v>
      </c>
      <c r="D15" s="14">
        <f>COUNTIFS(Calendar!A:A,A15,Calendar!E:E,"In Progress")</f>
        <v>0</v>
      </c>
      <c r="E15" s="14">
        <f>COUNTIFS(Calendar!A:A,A15,Calendar!E:E,"Planned")</f>
        <v>4</v>
      </c>
      <c r="F15" s="15">
        <f t="shared" si="1"/>
        <v>0</v>
      </c>
      <c r="G15" s="14" t="str">
        <f t="shared" si="2"/>
        <v>Not Started</v>
      </c>
    </row>
    <row r="16">
      <c r="A16" s="16" t="s">
        <v>18</v>
      </c>
      <c r="B16" s="16">
        <f>COUNTIF(Calendar!A:A,A16)</f>
        <v>4</v>
      </c>
      <c r="C16" s="16">
        <f>COUNTIFS(Calendar!A:A,A16,Calendar!E:E,"Posted")</f>
        <v>0</v>
      </c>
      <c r="D16" s="16">
        <f>COUNTIFS(Calendar!A:A,A16,Calendar!E:E,"In Progress")</f>
        <v>0</v>
      </c>
      <c r="E16" s="16">
        <f>COUNTIFS(Calendar!A:A,A16,Calendar!E:E,"Planned")</f>
        <v>4</v>
      </c>
      <c r="F16" s="17">
        <f t="shared" si="1"/>
        <v>0</v>
      </c>
      <c r="G16" s="16" t="str">
        <f t="shared" si="2"/>
        <v>Not Started</v>
      </c>
    </row>
    <row r="18">
      <c r="A18" s="7" t="s">
        <v>19</v>
      </c>
      <c r="B18" s="8"/>
      <c r="C18" s="8"/>
      <c r="D18" s="8"/>
      <c r="E18" s="8"/>
      <c r="F18" s="8"/>
      <c r="G18" s="9"/>
    </row>
    <row r="19">
      <c r="A19" s="10" t="s">
        <v>20</v>
      </c>
      <c r="B19" s="11">
        <f>COUNTIFS(Calendar!D:D,"Recipe",Calendar!E:E,"Posted")</f>
        <v>0</v>
      </c>
    </row>
    <row r="20">
      <c r="A20" s="10" t="s">
        <v>21</v>
      </c>
      <c r="B20" s="11">
        <f>COUNTIFS(Calendar!D:D,"Brand",Calendar!E:E,"Posted")</f>
        <v>0</v>
      </c>
    </row>
    <row r="21" ht="15.75" customHeight="1">
      <c r="A21" s="10" t="s">
        <v>22</v>
      </c>
      <c r="B21" s="11">
        <f>COUNTIFS(Calendar!D:D,"Discount",Calendar!E:E,"Posted")</f>
        <v>0</v>
      </c>
    </row>
    <row r="22" ht="15.75" customHeight="1"/>
    <row r="23" ht="15.75" customHeight="1">
      <c r="A23" s="7" t="s">
        <v>23</v>
      </c>
      <c r="B23" s="8"/>
      <c r="C23" s="8"/>
      <c r="D23" s="8"/>
      <c r="E23" s="8"/>
      <c r="F23" s="8"/>
      <c r="G23" s="9"/>
    </row>
    <row r="24" ht="15.75" customHeight="1">
      <c r="A24" s="18" t="s">
        <v>24</v>
      </c>
    </row>
    <row r="25" ht="15.75" customHeight="1">
      <c r="A25" s="18" t="s">
        <v>25</v>
      </c>
    </row>
    <row r="26" ht="15.75" customHeight="1">
      <c r="A26" s="18" t="s">
        <v>26</v>
      </c>
    </row>
    <row r="27" ht="15.75" customHeight="1">
      <c r="A27" s="18" t="s">
        <v>27</v>
      </c>
    </row>
    <row r="28" ht="15.75" customHeight="1">
      <c r="A28" s="18" t="s">
        <v>28</v>
      </c>
    </row>
  </sheetData>
  <mergeCells count="10">
    <mergeCell ref="A26:G26"/>
    <mergeCell ref="A27:G27"/>
    <mergeCell ref="A28:G28"/>
    <mergeCell ref="A1:G2"/>
    <mergeCell ref="A4:G4"/>
    <mergeCell ref="A9:G9"/>
    <mergeCell ref="A18:G18"/>
    <mergeCell ref="A23:G23"/>
    <mergeCell ref="A24:G24"/>
    <mergeCell ref="A25:G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8.0"/>
    <col customWidth="1" min="4" max="4" width="12.0"/>
    <col customWidth="1" min="5" max="5" width="14.0"/>
    <col customWidth="1" min="6" max="6" width="35.0"/>
    <col customWidth="1" min="7" max="7" width="30.0"/>
  </cols>
  <sheetData>
    <row r="1" ht="24.75" customHeight="1">
      <c r="A1" s="19" t="s">
        <v>29</v>
      </c>
      <c r="B1" s="2"/>
      <c r="C1" s="2"/>
      <c r="D1" s="2"/>
      <c r="E1" s="2"/>
      <c r="F1" s="2"/>
      <c r="G1" s="3"/>
    </row>
    <row r="2" ht="24.75" customHeight="1">
      <c r="A2" s="4"/>
      <c r="B2" s="5"/>
      <c r="C2" s="5"/>
      <c r="D2" s="5"/>
      <c r="E2" s="5"/>
      <c r="F2" s="5"/>
      <c r="G2" s="6"/>
    </row>
    <row r="3">
      <c r="A3" s="13" t="s">
        <v>6</v>
      </c>
      <c r="B3" s="13" t="s">
        <v>30</v>
      </c>
      <c r="C3" s="13" t="s">
        <v>31</v>
      </c>
      <c r="D3" s="13" t="s">
        <v>32</v>
      </c>
      <c r="E3" s="13" t="s">
        <v>12</v>
      </c>
      <c r="F3" s="13" t="s">
        <v>33</v>
      </c>
      <c r="G3" s="13" t="s">
        <v>34</v>
      </c>
    </row>
    <row r="4">
      <c r="A4" s="20" t="s">
        <v>13</v>
      </c>
      <c r="B4" s="20" t="s">
        <v>35</v>
      </c>
      <c r="C4" s="20" t="s">
        <v>36</v>
      </c>
      <c r="D4" s="20" t="s">
        <v>37</v>
      </c>
      <c r="E4" s="20" t="s">
        <v>10</v>
      </c>
    </row>
    <row r="5">
      <c r="A5" s="20" t="s">
        <v>13</v>
      </c>
      <c r="B5" s="20" t="s">
        <v>38</v>
      </c>
      <c r="C5" s="20" t="s">
        <v>39</v>
      </c>
      <c r="D5" s="20" t="s">
        <v>40</v>
      </c>
      <c r="E5" s="20" t="s">
        <v>10</v>
      </c>
    </row>
    <row r="6">
      <c r="A6" s="20" t="s">
        <v>13</v>
      </c>
      <c r="B6" s="20" t="s">
        <v>41</v>
      </c>
      <c r="C6" s="20" t="s">
        <v>42</v>
      </c>
      <c r="D6" s="20" t="s">
        <v>37</v>
      </c>
      <c r="E6" s="20" t="s">
        <v>10</v>
      </c>
    </row>
    <row r="7">
      <c r="A7" s="20" t="s">
        <v>13</v>
      </c>
      <c r="B7" s="20" t="s">
        <v>43</v>
      </c>
      <c r="C7" s="20" t="s">
        <v>44</v>
      </c>
      <c r="D7" s="20" t="s">
        <v>40</v>
      </c>
      <c r="E7" s="20" t="s">
        <v>10</v>
      </c>
    </row>
    <row r="8">
      <c r="A8" s="20" t="s">
        <v>14</v>
      </c>
      <c r="B8" s="20" t="s">
        <v>45</v>
      </c>
      <c r="C8" s="20" t="s">
        <v>46</v>
      </c>
      <c r="D8" s="20" t="s">
        <v>37</v>
      </c>
      <c r="E8" s="20" t="s">
        <v>10</v>
      </c>
    </row>
    <row r="9">
      <c r="A9" s="20" t="s">
        <v>14</v>
      </c>
      <c r="B9" s="20" t="s">
        <v>47</v>
      </c>
      <c r="C9" s="20" t="s">
        <v>48</v>
      </c>
      <c r="D9" s="20" t="s">
        <v>40</v>
      </c>
      <c r="E9" s="20" t="s">
        <v>10</v>
      </c>
    </row>
    <row r="10">
      <c r="A10" s="20" t="s">
        <v>14</v>
      </c>
      <c r="B10" s="20" t="s">
        <v>49</v>
      </c>
      <c r="C10" s="20" t="s">
        <v>50</v>
      </c>
      <c r="D10" s="20" t="s">
        <v>37</v>
      </c>
      <c r="E10" s="20" t="s">
        <v>10</v>
      </c>
    </row>
    <row r="11">
      <c r="A11" s="20" t="s">
        <v>14</v>
      </c>
      <c r="B11" s="20" t="s">
        <v>51</v>
      </c>
      <c r="C11" s="20" t="s">
        <v>52</v>
      </c>
      <c r="D11" s="20" t="s">
        <v>40</v>
      </c>
      <c r="E11" s="20" t="s">
        <v>10</v>
      </c>
    </row>
    <row r="12">
      <c r="A12" s="20" t="s">
        <v>15</v>
      </c>
      <c r="B12" s="20" t="s">
        <v>53</v>
      </c>
      <c r="C12" s="20" t="s">
        <v>54</v>
      </c>
      <c r="D12" s="20" t="s">
        <v>37</v>
      </c>
      <c r="E12" s="20" t="s">
        <v>10</v>
      </c>
    </row>
    <row r="13">
      <c r="A13" s="20" t="s">
        <v>15</v>
      </c>
      <c r="B13" s="20" t="s">
        <v>55</v>
      </c>
      <c r="C13" s="20" t="s">
        <v>56</v>
      </c>
      <c r="D13" s="20" t="s">
        <v>40</v>
      </c>
      <c r="E13" s="20" t="s">
        <v>10</v>
      </c>
    </row>
    <row r="14">
      <c r="A14" s="20" t="s">
        <v>15</v>
      </c>
      <c r="B14" s="20" t="s">
        <v>57</v>
      </c>
      <c r="C14" s="20" t="s">
        <v>58</v>
      </c>
      <c r="D14" s="20" t="s">
        <v>37</v>
      </c>
      <c r="E14" s="20" t="s">
        <v>10</v>
      </c>
    </row>
    <row r="15">
      <c r="A15" s="20" t="s">
        <v>15</v>
      </c>
      <c r="B15" s="20" t="s">
        <v>59</v>
      </c>
      <c r="C15" s="20" t="s">
        <v>60</v>
      </c>
      <c r="D15" s="20" t="s">
        <v>40</v>
      </c>
      <c r="E15" s="20" t="s">
        <v>10</v>
      </c>
    </row>
    <row r="16">
      <c r="A16" s="20" t="s">
        <v>16</v>
      </c>
      <c r="B16" s="20" t="s">
        <v>61</v>
      </c>
      <c r="C16" s="20" t="s">
        <v>62</v>
      </c>
      <c r="D16" s="20" t="s">
        <v>37</v>
      </c>
      <c r="E16" s="20" t="s">
        <v>10</v>
      </c>
    </row>
    <row r="17">
      <c r="A17" s="20" t="s">
        <v>16</v>
      </c>
      <c r="B17" s="20" t="s">
        <v>63</v>
      </c>
      <c r="C17" s="20" t="s">
        <v>64</v>
      </c>
      <c r="D17" s="20" t="s">
        <v>40</v>
      </c>
      <c r="E17" s="20" t="s">
        <v>10</v>
      </c>
    </row>
    <row r="18">
      <c r="A18" s="20" t="s">
        <v>16</v>
      </c>
      <c r="B18" s="20" t="s">
        <v>65</v>
      </c>
      <c r="C18" s="20" t="s">
        <v>66</v>
      </c>
      <c r="D18" s="20" t="s">
        <v>37</v>
      </c>
      <c r="E18" s="20" t="s">
        <v>10</v>
      </c>
    </row>
    <row r="19">
      <c r="A19" s="20" t="s">
        <v>16</v>
      </c>
      <c r="B19" s="20" t="s">
        <v>67</v>
      </c>
      <c r="C19" s="20" t="s">
        <v>68</v>
      </c>
      <c r="D19" s="20" t="s">
        <v>40</v>
      </c>
      <c r="E19" s="20" t="s">
        <v>10</v>
      </c>
    </row>
    <row r="20">
      <c r="A20" s="20" t="s">
        <v>17</v>
      </c>
      <c r="B20" s="20" t="s">
        <v>69</v>
      </c>
      <c r="C20" s="20" t="s">
        <v>70</v>
      </c>
      <c r="D20" s="20" t="s">
        <v>37</v>
      </c>
      <c r="E20" s="20" t="s">
        <v>10</v>
      </c>
    </row>
    <row r="21" ht="15.75" customHeight="1">
      <c r="A21" s="20" t="s">
        <v>17</v>
      </c>
      <c r="B21" s="20" t="s">
        <v>71</v>
      </c>
      <c r="C21" s="20" t="s">
        <v>72</v>
      </c>
      <c r="D21" s="20" t="s">
        <v>40</v>
      </c>
      <c r="E21" s="20" t="s">
        <v>10</v>
      </c>
    </row>
    <row r="22" ht="15.75" customHeight="1">
      <c r="A22" s="20" t="s">
        <v>17</v>
      </c>
      <c r="B22" s="20" t="s">
        <v>73</v>
      </c>
      <c r="C22" s="20" t="s">
        <v>74</v>
      </c>
      <c r="D22" s="20" t="s">
        <v>37</v>
      </c>
      <c r="E22" s="20" t="s">
        <v>10</v>
      </c>
    </row>
    <row r="23" ht="15.75" customHeight="1">
      <c r="A23" s="20" t="s">
        <v>17</v>
      </c>
      <c r="B23" s="20" t="s">
        <v>75</v>
      </c>
      <c r="C23" s="20" t="s">
        <v>76</v>
      </c>
      <c r="D23" s="20" t="s">
        <v>40</v>
      </c>
      <c r="E23" s="20" t="s">
        <v>10</v>
      </c>
    </row>
    <row r="24" ht="15.75" customHeight="1">
      <c r="A24" s="20" t="s">
        <v>18</v>
      </c>
      <c r="B24" s="20" t="s">
        <v>77</v>
      </c>
      <c r="C24" s="20" t="s">
        <v>78</v>
      </c>
      <c r="D24" s="20" t="s">
        <v>37</v>
      </c>
      <c r="E24" s="20" t="s">
        <v>10</v>
      </c>
    </row>
    <row r="25" ht="15.75" customHeight="1">
      <c r="A25" s="20" t="s">
        <v>18</v>
      </c>
      <c r="B25" s="20" t="s">
        <v>79</v>
      </c>
      <c r="C25" s="20" t="s">
        <v>80</v>
      </c>
      <c r="D25" s="20" t="s">
        <v>40</v>
      </c>
      <c r="E25" s="20" t="s">
        <v>10</v>
      </c>
    </row>
    <row r="26" ht="15.75" customHeight="1">
      <c r="A26" s="20" t="s">
        <v>18</v>
      </c>
      <c r="B26" s="20" t="s">
        <v>81</v>
      </c>
      <c r="C26" s="20" t="s">
        <v>82</v>
      </c>
      <c r="D26" s="20" t="s">
        <v>37</v>
      </c>
      <c r="E26" s="20" t="s">
        <v>10</v>
      </c>
    </row>
    <row r="27" ht="15.75" customHeight="1">
      <c r="A27" s="20" t="s">
        <v>18</v>
      </c>
      <c r="B27" s="20" t="s">
        <v>83</v>
      </c>
      <c r="C27" s="20" t="s">
        <v>84</v>
      </c>
      <c r="D27" s="20" t="s">
        <v>40</v>
      </c>
      <c r="E27" s="20" t="s">
        <v>10</v>
      </c>
    </row>
  </sheetData>
  <mergeCells count="1">
    <mergeCell ref="A1:G2"/>
  </mergeCells>
  <dataValidations>
    <dataValidation type="list" allowBlank="1" sqref="E4:E27">
      <formula1>"Planned,In Progress,Posted"</formula1>
    </dataValidation>
    <dataValidation type="list" allowBlank="1" sqref="D4:D27">
      <formula1>"Recipe,Discount,Brand"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15.0"/>
    <col customWidth="1" min="4" max="4" width="40.0"/>
  </cols>
  <sheetData>
    <row r="1" ht="24.75" customHeight="1">
      <c r="A1" s="21" t="s">
        <v>85</v>
      </c>
      <c r="B1" s="8"/>
      <c r="C1" s="8"/>
      <c r="D1" s="9"/>
    </row>
    <row r="2">
      <c r="A2" s="13" t="s">
        <v>86</v>
      </c>
      <c r="B2" s="13" t="s">
        <v>87</v>
      </c>
      <c r="C2" s="13" t="s">
        <v>12</v>
      </c>
      <c r="D2" s="13" t="s">
        <v>88</v>
      </c>
    </row>
    <row r="3">
      <c r="A3" s="14">
        <v>1.0</v>
      </c>
      <c r="B3" s="22" t="s">
        <v>89</v>
      </c>
      <c r="C3" s="14" t="s">
        <v>90</v>
      </c>
      <c r="D3" s="14"/>
    </row>
    <row r="4">
      <c r="A4" s="16">
        <v>2.0</v>
      </c>
      <c r="B4" s="22" t="s">
        <v>91</v>
      </c>
      <c r="C4" s="16" t="s">
        <v>90</v>
      </c>
      <c r="D4" s="16"/>
    </row>
    <row r="5">
      <c r="A5" s="14">
        <v>3.0</v>
      </c>
      <c r="B5" s="22" t="s">
        <v>92</v>
      </c>
      <c r="C5" s="14" t="s">
        <v>90</v>
      </c>
      <c r="D5" s="14"/>
    </row>
    <row r="6">
      <c r="A6" s="16">
        <v>4.0</v>
      </c>
      <c r="B6" s="22" t="s">
        <v>93</v>
      </c>
      <c r="C6" s="16" t="s">
        <v>90</v>
      </c>
      <c r="D6" s="16"/>
    </row>
    <row r="7">
      <c r="A7" s="14">
        <v>5.0</v>
      </c>
      <c r="B7" s="22" t="s">
        <v>94</v>
      </c>
      <c r="C7" s="14" t="s">
        <v>90</v>
      </c>
      <c r="D7" s="14"/>
    </row>
    <row r="8">
      <c r="A8" s="16">
        <v>6.0</v>
      </c>
      <c r="B8" s="22" t="s">
        <v>95</v>
      </c>
      <c r="C8" s="16" t="s">
        <v>90</v>
      </c>
      <c r="D8" s="16"/>
    </row>
    <row r="9">
      <c r="A9" s="14">
        <v>7.0</v>
      </c>
      <c r="B9" s="22" t="s">
        <v>96</v>
      </c>
      <c r="C9" s="14" t="s">
        <v>90</v>
      </c>
      <c r="D9" s="14"/>
    </row>
    <row r="10">
      <c r="A10" s="16">
        <v>8.0</v>
      </c>
      <c r="B10" s="22" t="s">
        <v>97</v>
      </c>
      <c r="C10" s="16" t="s">
        <v>90</v>
      </c>
      <c r="D10" s="16"/>
    </row>
    <row r="11">
      <c r="A11" s="14">
        <v>9.0</v>
      </c>
      <c r="B11" s="23" t="s">
        <v>98</v>
      </c>
      <c r="C11" s="14" t="s">
        <v>90</v>
      </c>
      <c r="D11" s="14"/>
    </row>
    <row r="12">
      <c r="A12" s="16">
        <v>10.0</v>
      </c>
      <c r="B12" s="22" t="s">
        <v>99</v>
      </c>
      <c r="C12" s="16" t="s">
        <v>90</v>
      </c>
      <c r="D12" s="16"/>
    </row>
    <row r="13">
      <c r="A13" s="14">
        <v>11.0</v>
      </c>
      <c r="B13" s="22" t="s">
        <v>100</v>
      </c>
      <c r="C13" s="14" t="s">
        <v>90</v>
      </c>
      <c r="D13" s="14"/>
    </row>
    <row r="14">
      <c r="A14" s="16">
        <v>12.0</v>
      </c>
      <c r="B14" s="22" t="s">
        <v>101</v>
      </c>
      <c r="C14" s="16" t="s">
        <v>90</v>
      </c>
      <c r="D14" s="16"/>
    </row>
    <row r="15">
      <c r="A15" s="14">
        <v>13.0</v>
      </c>
      <c r="B15" s="24" t="s">
        <v>102</v>
      </c>
      <c r="C15" s="14" t="s">
        <v>90</v>
      </c>
      <c r="D15" s="14"/>
    </row>
    <row r="16">
      <c r="A16" s="16">
        <v>14.0</v>
      </c>
      <c r="B16" s="22" t="s">
        <v>103</v>
      </c>
      <c r="C16" s="16" t="s">
        <v>90</v>
      </c>
      <c r="D16" s="16"/>
    </row>
    <row r="17">
      <c r="A17" s="14">
        <v>15.0</v>
      </c>
      <c r="B17" s="22" t="s">
        <v>104</v>
      </c>
      <c r="C17" s="14" t="s">
        <v>90</v>
      </c>
      <c r="D17" s="14"/>
    </row>
    <row r="18">
      <c r="A18" s="16">
        <v>16.0</v>
      </c>
      <c r="B18" s="23" t="s">
        <v>105</v>
      </c>
      <c r="C18" s="16" t="s">
        <v>90</v>
      </c>
      <c r="D18" s="16"/>
    </row>
    <row r="19">
      <c r="A19" s="14">
        <v>17.0</v>
      </c>
      <c r="B19" s="23" t="s">
        <v>106</v>
      </c>
      <c r="C19" s="14" t="s">
        <v>90</v>
      </c>
      <c r="D19" s="14"/>
    </row>
    <row r="20">
      <c r="A20" s="16">
        <v>18.0</v>
      </c>
      <c r="B20" s="23" t="s">
        <v>107</v>
      </c>
      <c r="C20" s="16" t="s">
        <v>90</v>
      </c>
      <c r="D20" s="16"/>
    </row>
    <row r="21" ht="15.75" customHeight="1">
      <c r="A21" s="14">
        <v>19.0</v>
      </c>
      <c r="B21" s="22" t="s">
        <v>108</v>
      </c>
      <c r="C21" s="14" t="s">
        <v>90</v>
      </c>
      <c r="D21" s="14"/>
    </row>
    <row r="22" ht="15.75" customHeight="1">
      <c r="A22" s="16">
        <v>20.0</v>
      </c>
      <c r="B22" s="23" t="s">
        <v>109</v>
      </c>
      <c r="C22" s="16" t="s">
        <v>90</v>
      </c>
      <c r="D22" s="16"/>
    </row>
  </sheetData>
  <mergeCells count="1">
    <mergeCell ref="A1:D1"/>
  </mergeCells>
  <dataValidations>
    <dataValidation type="list" allowBlank="1" sqref="C3:C22">
      <formula1>"Available,Posted,In Process,Excluded"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</hyperlinks>
  <printOptions/>
  <pageMargins bottom="1.0" footer="0.0" header="0.0" left="0.75" right="0.75" top="1.0"/>
  <pageSetup orientation="landscape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50.0"/>
    <col customWidth="1" min="4" max="4" width="15.0"/>
    <col customWidth="1" min="5" max="5" width="40.0"/>
  </cols>
  <sheetData>
    <row r="1" ht="24.75" customHeight="1">
      <c r="A1" s="21" t="s">
        <v>110</v>
      </c>
      <c r="B1" s="8"/>
      <c r="C1" s="8"/>
      <c r="D1" s="8"/>
      <c r="E1" s="9"/>
    </row>
    <row r="2">
      <c r="A2" s="13" t="s">
        <v>86</v>
      </c>
      <c r="B2" s="13" t="s">
        <v>111</v>
      </c>
      <c r="C2" s="13" t="s">
        <v>112</v>
      </c>
      <c r="D2" s="13" t="s">
        <v>12</v>
      </c>
      <c r="E2" s="13" t="s">
        <v>88</v>
      </c>
    </row>
    <row r="3">
      <c r="A3" s="25">
        <v>1.0</v>
      </c>
      <c r="B3" s="25" t="s">
        <v>113</v>
      </c>
      <c r="C3" s="25" t="s">
        <v>114</v>
      </c>
      <c r="D3" s="25" t="s">
        <v>90</v>
      </c>
      <c r="E3" s="25"/>
    </row>
    <row r="4">
      <c r="A4" s="26">
        <v>2.0</v>
      </c>
      <c r="B4" s="26" t="s">
        <v>115</v>
      </c>
      <c r="C4" s="26" t="s">
        <v>116</v>
      </c>
      <c r="D4" s="26" t="s">
        <v>90</v>
      </c>
      <c r="E4" s="26"/>
    </row>
    <row r="5">
      <c r="A5" s="25">
        <v>3.0</v>
      </c>
      <c r="B5" s="25" t="s">
        <v>117</v>
      </c>
      <c r="C5" s="25" t="s">
        <v>118</v>
      </c>
      <c r="D5" s="25" t="s">
        <v>90</v>
      </c>
      <c r="E5" s="25"/>
    </row>
    <row r="6">
      <c r="A6" s="26">
        <v>4.0</v>
      </c>
      <c r="B6" s="26" t="s">
        <v>119</v>
      </c>
      <c r="C6" s="26" t="s">
        <v>120</v>
      </c>
      <c r="D6" s="26" t="s">
        <v>90</v>
      </c>
      <c r="E6" s="26"/>
    </row>
    <row r="7">
      <c r="A7" s="25">
        <v>5.0</v>
      </c>
      <c r="B7" s="25" t="s">
        <v>121</v>
      </c>
      <c r="C7" s="25" t="s">
        <v>122</v>
      </c>
      <c r="D7" s="25" t="s">
        <v>90</v>
      </c>
      <c r="E7" s="25"/>
    </row>
    <row r="8">
      <c r="A8" s="26">
        <v>6.0</v>
      </c>
      <c r="B8" s="26" t="s">
        <v>123</v>
      </c>
      <c r="C8" s="26" t="s">
        <v>124</v>
      </c>
      <c r="D8" s="26" t="s">
        <v>90</v>
      </c>
      <c r="E8" s="26"/>
    </row>
    <row r="9">
      <c r="A9" s="25">
        <v>7.0</v>
      </c>
      <c r="B9" s="25" t="s">
        <v>125</v>
      </c>
      <c r="C9" s="25" t="s">
        <v>126</v>
      </c>
      <c r="D9" s="25" t="s">
        <v>90</v>
      </c>
      <c r="E9" s="25"/>
    </row>
    <row r="10">
      <c r="A10" s="26">
        <v>8.0</v>
      </c>
      <c r="B10" s="26" t="s">
        <v>127</v>
      </c>
      <c r="C10" s="26" t="s">
        <v>128</v>
      </c>
      <c r="D10" s="26" t="s">
        <v>90</v>
      </c>
      <c r="E10" s="26"/>
    </row>
    <row r="11">
      <c r="A11" s="25">
        <v>9.0</v>
      </c>
      <c r="B11" s="25" t="s">
        <v>129</v>
      </c>
      <c r="C11" s="25" t="s">
        <v>130</v>
      </c>
      <c r="D11" s="25" t="s">
        <v>90</v>
      </c>
      <c r="E11" s="25"/>
    </row>
    <row r="12">
      <c r="A12" s="26">
        <v>10.0</v>
      </c>
      <c r="B12" s="26" t="s">
        <v>131</v>
      </c>
      <c r="C12" s="26" t="s">
        <v>132</v>
      </c>
      <c r="D12" s="26" t="s">
        <v>90</v>
      </c>
      <c r="E12" s="26"/>
    </row>
    <row r="13">
      <c r="A13" s="25">
        <v>11.0</v>
      </c>
      <c r="B13" s="25" t="s">
        <v>133</v>
      </c>
      <c r="C13" s="25" t="s">
        <v>134</v>
      </c>
      <c r="D13" s="25" t="s">
        <v>90</v>
      </c>
      <c r="E13" s="25"/>
    </row>
    <row r="14">
      <c r="A14" s="26">
        <v>12.0</v>
      </c>
      <c r="B14" s="26" t="s">
        <v>135</v>
      </c>
      <c r="C14" s="26" t="s">
        <v>136</v>
      </c>
      <c r="D14" s="26" t="s">
        <v>90</v>
      </c>
      <c r="E14" s="26"/>
    </row>
    <row r="15">
      <c r="A15" s="25">
        <v>13.0</v>
      </c>
      <c r="B15" s="25" t="s">
        <v>137</v>
      </c>
      <c r="C15" s="25" t="s">
        <v>138</v>
      </c>
      <c r="D15" s="25" t="s">
        <v>90</v>
      </c>
      <c r="E15" s="25"/>
    </row>
    <row r="16">
      <c r="A16" s="26">
        <v>14.0</v>
      </c>
      <c r="B16" s="26" t="s">
        <v>139</v>
      </c>
      <c r="C16" s="26" t="s">
        <v>140</v>
      </c>
      <c r="D16" s="26" t="s">
        <v>90</v>
      </c>
      <c r="E16" s="26"/>
    </row>
    <row r="17">
      <c r="A17" s="25">
        <v>15.0</v>
      </c>
      <c r="B17" s="25" t="s">
        <v>141</v>
      </c>
      <c r="C17" s="25" t="s">
        <v>142</v>
      </c>
      <c r="D17" s="25" t="s">
        <v>90</v>
      </c>
      <c r="E17" s="25"/>
    </row>
    <row r="18">
      <c r="A18" s="26">
        <v>16.0</v>
      </c>
      <c r="B18" s="26" t="s">
        <v>143</v>
      </c>
      <c r="C18" s="26" t="s">
        <v>144</v>
      </c>
      <c r="D18" s="26" t="s">
        <v>90</v>
      </c>
      <c r="E18" s="26"/>
    </row>
    <row r="19">
      <c r="A19" s="25">
        <v>17.0</v>
      </c>
      <c r="B19" s="25" t="s">
        <v>145</v>
      </c>
      <c r="C19" s="25" t="s">
        <v>146</v>
      </c>
      <c r="D19" s="25" t="s">
        <v>90</v>
      </c>
      <c r="E19" s="25"/>
    </row>
    <row r="20">
      <c r="A20" s="26">
        <v>18.0</v>
      </c>
      <c r="B20" s="26" t="s">
        <v>147</v>
      </c>
      <c r="C20" s="26" t="s">
        <v>148</v>
      </c>
      <c r="D20" s="26" t="s">
        <v>90</v>
      </c>
      <c r="E20" s="26"/>
    </row>
    <row r="21" ht="15.75" customHeight="1">
      <c r="A21" s="25">
        <v>19.0</v>
      </c>
      <c r="B21" s="25" t="s">
        <v>149</v>
      </c>
      <c r="C21" s="25" t="s">
        <v>150</v>
      </c>
      <c r="D21" s="25" t="s">
        <v>90</v>
      </c>
      <c r="E21" s="25"/>
    </row>
    <row r="22" ht="15.75" customHeight="1">
      <c r="A22" s="26">
        <v>20.0</v>
      </c>
      <c r="B22" s="26" t="s">
        <v>151</v>
      </c>
      <c r="C22" s="26" t="s">
        <v>152</v>
      </c>
      <c r="D22" s="26" t="s">
        <v>90</v>
      </c>
      <c r="E22" s="26"/>
    </row>
    <row r="23" ht="15.75" customHeight="1">
      <c r="A23" s="25">
        <v>21.0</v>
      </c>
      <c r="B23" s="25" t="s">
        <v>153</v>
      </c>
      <c r="C23" s="25" t="s">
        <v>154</v>
      </c>
      <c r="D23" s="25" t="s">
        <v>90</v>
      </c>
      <c r="E23" s="25"/>
    </row>
    <row r="24" ht="15.75" customHeight="1">
      <c r="A24" s="26">
        <v>22.0</v>
      </c>
      <c r="B24" s="26" t="s">
        <v>155</v>
      </c>
      <c r="C24" s="26" t="s">
        <v>156</v>
      </c>
      <c r="D24" s="26" t="s">
        <v>90</v>
      </c>
      <c r="E24" s="26"/>
    </row>
    <row r="25" ht="15.75" customHeight="1">
      <c r="A25" s="25">
        <v>23.0</v>
      </c>
      <c r="B25" s="25" t="s">
        <v>157</v>
      </c>
      <c r="C25" s="25" t="s">
        <v>158</v>
      </c>
      <c r="D25" s="25" t="s">
        <v>90</v>
      </c>
      <c r="E25" s="25"/>
    </row>
    <row r="26" ht="15.75" customHeight="1">
      <c r="A26" s="26">
        <v>24.0</v>
      </c>
      <c r="B26" s="26" t="s">
        <v>159</v>
      </c>
      <c r="C26" s="26" t="s">
        <v>160</v>
      </c>
      <c r="D26" s="26" t="s">
        <v>90</v>
      </c>
      <c r="E26" s="26"/>
    </row>
    <row r="27" ht="15.75" customHeight="1">
      <c r="A27" s="25">
        <v>25.0</v>
      </c>
      <c r="B27" s="25" t="s">
        <v>161</v>
      </c>
      <c r="C27" s="25" t="s">
        <v>162</v>
      </c>
      <c r="D27" s="25" t="s">
        <v>90</v>
      </c>
      <c r="E27" s="25"/>
    </row>
    <row r="28" ht="15.75" customHeight="1">
      <c r="A28" s="26">
        <v>26.0</v>
      </c>
      <c r="B28" s="26" t="s">
        <v>163</v>
      </c>
      <c r="C28" s="26" t="s">
        <v>164</v>
      </c>
      <c r="D28" s="26" t="s">
        <v>90</v>
      </c>
      <c r="E28" s="26"/>
    </row>
    <row r="29" ht="15.75" customHeight="1">
      <c r="A29" s="25">
        <v>27.0</v>
      </c>
      <c r="B29" s="25" t="s">
        <v>165</v>
      </c>
      <c r="C29" s="25" t="s">
        <v>166</v>
      </c>
      <c r="D29" s="25" t="s">
        <v>90</v>
      </c>
      <c r="E29" s="25"/>
    </row>
    <row r="30" ht="15.75" customHeight="1">
      <c r="A30" s="26">
        <v>28.0</v>
      </c>
      <c r="B30" s="26" t="s">
        <v>167</v>
      </c>
      <c r="C30" s="26" t="s">
        <v>168</v>
      </c>
      <c r="D30" s="26" t="s">
        <v>90</v>
      </c>
      <c r="E30" s="26"/>
    </row>
    <row r="31" ht="15.75" customHeight="1">
      <c r="A31" s="25">
        <v>29.0</v>
      </c>
      <c r="B31" s="25" t="s">
        <v>169</v>
      </c>
      <c r="C31" s="25" t="s">
        <v>170</v>
      </c>
      <c r="D31" s="25" t="s">
        <v>90</v>
      </c>
      <c r="E31" s="25"/>
    </row>
    <row r="32" ht="15.75" customHeight="1">
      <c r="A32" s="26">
        <v>30.0</v>
      </c>
      <c r="B32" s="26" t="s">
        <v>171</v>
      </c>
      <c r="C32" s="26" t="s">
        <v>172</v>
      </c>
      <c r="D32" s="26" t="s">
        <v>90</v>
      </c>
      <c r="E32" s="26"/>
    </row>
  </sheetData>
  <mergeCells count="1">
    <mergeCell ref="A1:E1"/>
  </mergeCells>
  <dataValidations>
    <dataValidation type="list" allowBlank="1" sqref="D3:D32">
      <formula1>"Available,Posted,In Process,Excluded"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2026-01-13T07:07:00Z</dcterms:created>
  <dc:creator>openpyxl</dc:creator>
</cp:coreProperties>
</file>